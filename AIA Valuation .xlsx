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udent.otago.ac.nz\mds\Profiles-V2\l\leeph510\RedirectedFolders\Desktop\Auckland International DCF\"/>
    </mc:Choice>
  </mc:AlternateContent>
  <xr:revisionPtr revIDLastSave="0" documentId="8_{A5603691-D425-4556-BE15-EC21DD7977C3}" xr6:coauthVersionLast="47" xr6:coauthVersionMax="47" xr10:uidLastSave="{00000000-0000-0000-0000-000000000000}"/>
  <bookViews>
    <workbookView xWindow="28680" yWindow="-120" windowWidth="29040" windowHeight="15720" activeTab="3" xr2:uid="{78ED2E26-0ADC-4C3E-9149-A310F8B5A5D9}"/>
  </bookViews>
  <sheets>
    <sheet name="Cover Page " sheetId="1" r:id="rId1"/>
    <sheet name="Assumptions" sheetId="2" r:id="rId2"/>
    <sheet name="Valuation &gt;" sheetId="7" r:id="rId3"/>
    <sheet name="AIA DCF" sheetId="5" r:id="rId4"/>
    <sheet name="DCF Assumptions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CIQWBGuid" hidden="1">"037af0c0-7bc1-4f83-b090-2ca8790cfaf6"</definedName>
    <definedName name="CIQWBInfo" hidden="1">"{ ""CIQVersion"":""9.47.1108.4092"" }"</definedName>
    <definedName name="DCF">'AIA DCF'!$1:$1048576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5" l="1"/>
  <c r="I74" i="5"/>
  <c r="E18" i="5"/>
  <c r="I24" i="5" l="1"/>
  <c r="J24" i="5"/>
  <c r="J25" i="5" s="1"/>
  <c r="K24" i="5"/>
  <c r="L24" i="5"/>
  <c r="M24" i="5"/>
  <c r="I27" i="5"/>
  <c r="I28" i="5" l="1"/>
  <c r="I52" i="5"/>
  <c r="E22" i="2"/>
  <c r="E24" i="2"/>
  <c r="E23" i="2"/>
  <c r="I51" i="5" l="1"/>
  <c r="I50" i="5"/>
  <c r="L13" i="5"/>
  <c r="F34" i="5"/>
  <c r="F62" i="5" s="1"/>
  <c r="G34" i="5"/>
  <c r="G62" i="5" s="1"/>
  <c r="E34" i="5"/>
  <c r="E62" i="5" s="1"/>
  <c r="H2" i="5" l="1"/>
  <c r="E54" i="5"/>
  <c r="F54" i="5"/>
  <c r="G54" i="5"/>
  <c r="H54" i="5"/>
  <c r="J34" i="5"/>
  <c r="J62" i="5" s="1"/>
  <c r="K34" i="5"/>
  <c r="K62" i="5" s="1"/>
  <c r="L34" i="5"/>
  <c r="L62" i="5" s="1"/>
  <c r="M34" i="5"/>
  <c r="M62" i="5" s="1"/>
  <c r="I34" i="5"/>
  <c r="I62" i="5" s="1"/>
  <c r="H34" i="5"/>
  <c r="H62" i="5" s="1"/>
  <c r="E30" i="5"/>
  <c r="E41" i="5"/>
  <c r="B51" i="5"/>
  <c r="B52" i="5"/>
  <c r="B50" i="5"/>
  <c r="J27" i="5"/>
  <c r="J28" i="5" s="1"/>
  <c r="K27" i="5"/>
  <c r="L27" i="5"/>
  <c r="M27" i="5"/>
  <c r="F23" i="5"/>
  <c r="G23" i="5" s="1"/>
  <c r="H23" i="5" s="1"/>
  <c r="I23" i="5" s="1"/>
  <c r="J23" i="5" s="1"/>
  <c r="K23" i="5" s="1"/>
  <c r="L23" i="5" s="1"/>
  <c r="M23" i="5" s="1"/>
  <c r="M41" i="5" s="1"/>
  <c r="D5" i="5"/>
  <c r="E7" i="2"/>
  <c r="J52" i="5" l="1"/>
  <c r="J51" i="5"/>
  <c r="J50" i="5"/>
  <c r="J49" i="5" s="1"/>
  <c r="J48" i="5" s="1"/>
  <c r="I63" i="5"/>
  <c r="M63" i="5"/>
  <c r="L63" i="5"/>
  <c r="K63" i="5"/>
  <c r="J63" i="5"/>
  <c r="E37" i="5"/>
  <c r="E65" i="5" s="1"/>
  <c r="G31" i="5"/>
  <c r="G59" i="5" s="1"/>
  <c r="F37" i="5"/>
  <c r="F65" i="5" s="1"/>
  <c r="G37" i="5"/>
  <c r="G65" i="5" s="1"/>
  <c r="H37" i="5"/>
  <c r="H65" i="5" s="1"/>
  <c r="E27" i="5"/>
  <c r="H27" i="5"/>
  <c r="G27" i="5"/>
  <c r="F27" i="5"/>
  <c r="F48" i="5" s="1"/>
  <c r="F55" i="5" s="1"/>
  <c r="H24" i="5"/>
  <c r="I25" i="5" s="1"/>
  <c r="G24" i="5"/>
  <c r="G42" i="5" s="1"/>
  <c r="J39" i="5"/>
  <c r="I41" i="5"/>
  <c r="L25" i="5"/>
  <c r="K35" i="5"/>
  <c r="J35" i="5"/>
  <c r="M25" i="5"/>
  <c r="M39" i="5"/>
  <c r="G30" i="5"/>
  <c r="L39" i="5"/>
  <c r="F30" i="5"/>
  <c r="M35" i="5"/>
  <c r="K39" i="5"/>
  <c r="L35" i="5"/>
  <c r="H41" i="5"/>
  <c r="G41" i="5"/>
  <c r="F41" i="5"/>
  <c r="I35" i="5"/>
  <c r="I30" i="5"/>
  <c r="M30" i="5"/>
  <c r="L30" i="5"/>
  <c r="L41" i="5"/>
  <c r="K30" i="5"/>
  <c r="K41" i="5"/>
  <c r="J30" i="5"/>
  <c r="J41" i="5"/>
  <c r="H30" i="5"/>
  <c r="H31" i="5"/>
  <c r="F31" i="5"/>
  <c r="F59" i="5" s="1"/>
  <c r="E31" i="5"/>
  <c r="E59" i="5" s="1"/>
  <c r="K25" i="5"/>
  <c r="K45" i="5" s="1"/>
  <c r="M28" i="5"/>
  <c r="L28" i="5"/>
  <c r="K28" i="5"/>
  <c r="F24" i="5"/>
  <c r="F35" i="5" s="1"/>
  <c r="F63" i="5" s="1"/>
  <c r="E24" i="5"/>
  <c r="H59" i="5" l="1"/>
  <c r="I31" i="5"/>
  <c r="K50" i="5"/>
  <c r="K52" i="5"/>
  <c r="K51" i="5"/>
  <c r="H48" i="5"/>
  <c r="H55" i="5" s="1"/>
  <c r="L55" i="5" s="1"/>
  <c r="E48" i="5"/>
  <c r="E49" i="5" s="1"/>
  <c r="K44" i="5"/>
  <c r="K43" i="5" s="1"/>
  <c r="K46" i="5"/>
  <c r="M45" i="5"/>
  <c r="M44" i="5" s="1"/>
  <c r="M46" i="5"/>
  <c r="L45" i="5"/>
  <c r="L44" i="5" s="1"/>
  <c r="L46" i="5"/>
  <c r="J45" i="5"/>
  <c r="J46" i="5"/>
  <c r="G48" i="5"/>
  <c r="G49" i="5" s="1"/>
  <c r="L50" i="5"/>
  <c r="L51" i="5"/>
  <c r="L52" i="5"/>
  <c r="M50" i="5"/>
  <c r="M52" i="5"/>
  <c r="M51" i="5"/>
  <c r="I49" i="5"/>
  <c r="I48" i="5" s="1"/>
  <c r="I45" i="5"/>
  <c r="I44" i="5" s="1"/>
  <c r="I46" i="5"/>
  <c r="G35" i="5"/>
  <c r="G63" i="5" s="1"/>
  <c r="G32" i="5"/>
  <c r="G60" i="5" s="1"/>
  <c r="H35" i="5"/>
  <c r="H63" i="5" s="1"/>
  <c r="G38" i="5"/>
  <c r="G66" i="5" s="1"/>
  <c r="H39" i="5"/>
  <c r="G28" i="5"/>
  <c r="H28" i="5"/>
  <c r="H38" i="5"/>
  <c r="H66" i="5" s="1"/>
  <c r="H42" i="5"/>
  <c r="H43" i="5" s="1"/>
  <c r="E32" i="5"/>
  <c r="E60" i="5" s="1"/>
  <c r="G39" i="5"/>
  <c r="F32" i="5"/>
  <c r="F60" i="5" s="1"/>
  <c r="E28" i="5"/>
  <c r="E42" i="5"/>
  <c r="E35" i="5"/>
  <c r="E63" i="5" s="1"/>
  <c r="E38" i="5"/>
  <c r="E66" i="5" s="1"/>
  <c r="G25" i="5"/>
  <c r="F39" i="5"/>
  <c r="F42" i="5"/>
  <c r="G43" i="5" s="1"/>
  <c r="F38" i="5"/>
  <c r="F66" i="5" s="1"/>
  <c r="H32" i="5"/>
  <c r="H60" i="5" s="1"/>
  <c r="I37" i="5"/>
  <c r="F49" i="5"/>
  <c r="F25" i="5"/>
  <c r="F28" i="5"/>
  <c r="H25" i="5"/>
  <c r="J44" i="5" l="1"/>
  <c r="J43" i="5" s="1"/>
  <c r="L60" i="5"/>
  <c r="K49" i="5"/>
  <c r="K48" i="5" s="1"/>
  <c r="L49" i="5"/>
  <c r="L48" i="5" s="1"/>
  <c r="H49" i="5"/>
  <c r="M43" i="5"/>
  <c r="E55" i="5"/>
  <c r="K60" i="5"/>
  <c r="I60" i="5"/>
  <c r="I59" i="5" s="1"/>
  <c r="M60" i="5"/>
  <c r="J60" i="5"/>
  <c r="G55" i="5"/>
  <c r="J66" i="5"/>
  <c r="K66" i="5"/>
  <c r="L66" i="5"/>
  <c r="M66" i="5"/>
  <c r="I66" i="5"/>
  <c r="I65" i="5" s="1"/>
  <c r="L43" i="5"/>
  <c r="I43" i="5"/>
  <c r="I38" i="5"/>
  <c r="J37" i="5"/>
  <c r="I32" i="5"/>
  <c r="J31" i="5"/>
  <c r="F43" i="5"/>
  <c r="J59" i="5" l="1"/>
  <c r="I69" i="5"/>
  <c r="I70" i="5" s="1"/>
  <c r="I42" i="5"/>
  <c r="K55" i="5"/>
  <c r="K69" i="5" s="1"/>
  <c r="K70" i="5" s="1"/>
  <c r="J55" i="5"/>
  <c r="J69" i="5" s="1"/>
  <c r="J70" i="5" s="1"/>
  <c r="K59" i="5"/>
  <c r="L59" i="5" s="1"/>
  <c r="M59" i="5" s="1"/>
  <c r="I55" i="5"/>
  <c r="I54" i="5" s="1"/>
  <c r="J65" i="5"/>
  <c r="K65" i="5" s="1"/>
  <c r="L65" i="5" s="1"/>
  <c r="M65" i="5" s="1"/>
  <c r="K31" i="5"/>
  <c r="J32" i="5"/>
  <c r="J38" i="5"/>
  <c r="K37" i="5"/>
  <c r="J54" i="5" l="1"/>
  <c r="J57" i="5" s="1"/>
  <c r="I57" i="5"/>
  <c r="L69" i="5"/>
  <c r="L70" i="5" s="1"/>
  <c r="J42" i="5"/>
  <c r="K42" i="5" s="1"/>
  <c r="M55" i="5"/>
  <c r="L37" i="5"/>
  <c r="K38" i="5"/>
  <c r="L31" i="5"/>
  <c r="K32" i="5"/>
  <c r="L42" i="5" l="1"/>
  <c r="M42" i="5" s="1"/>
  <c r="M37" i="5"/>
  <c r="M38" i="5" s="1"/>
  <c r="L38" i="5"/>
  <c r="M31" i="5"/>
  <c r="M32" i="5" s="1"/>
  <c r="L32" i="5"/>
  <c r="M49" i="5"/>
  <c r="M48" i="5" s="1"/>
  <c r="M69" i="5" l="1"/>
  <c r="M68" i="5" s="1"/>
  <c r="K54" i="5"/>
  <c r="K57" i="5" s="1"/>
  <c r="M70" i="5" l="1"/>
  <c r="L54" i="5"/>
  <c r="I72" i="5" l="1"/>
  <c r="I75" i="5" s="1"/>
  <c r="I77" i="5" s="1"/>
  <c r="M54" i="5"/>
  <c r="M57" i="5" s="1"/>
  <c r="L57" i="5"/>
</calcChain>
</file>

<file path=xl/sharedStrings.xml><?xml version="1.0" encoding="utf-8"?>
<sst xmlns="http://schemas.openxmlformats.org/spreadsheetml/2006/main" count="110" uniqueCount="71">
  <si>
    <t xml:space="preserve">Not Financial Advice </t>
  </si>
  <si>
    <t>Company Valuation</t>
  </si>
  <si>
    <t xml:space="preserve">Performed by Phoenix J. Leef-Harris </t>
  </si>
  <si>
    <t xml:space="preserve">Assumptions </t>
  </si>
  <si>
    <t>Security Information</t>
  </si>
  <si>
    <t>Ticker</t>
  </si>
  <si>
    <t>Date</t>
  </si>
  <si>
    <t xml:space="preserve">Financial Year End </t>
  </si>
  <si>
    <t xml:space="preserve">Circular Swtich </t>
  </si>
  <si>
    <t>On / Off</t>
  </si>
  <si>
    <t>Key Assumptions</t>
  </si>
  <si>
    <t>Last Historical FYE</t>
  </si>
  <si>
    <t>Transaction Date</t>
  </si>
  <si>
    <t>Enterprise Value Calculation</t>
  </si>
  <si>
    <t>Current Share Price</t>
  </si>
  <si>
    <t>NOSH</t>
  </si>
  <si>
    <t>Market Cap</t>
  </si>
  <si>
    <t>Net Debt / (Cash)</t>
  </si>
  <si>
    <t>Auckland International Airport DCF</t>
  </si>
  <si>
    <t>AIA</t>
  </si>
  <si>
    <t xml:space="preserve">Date </t>
  </si>
  <si>
    <t>x</t>
  </si>
  <si>
    <t>Assumptions</t>
  </si>
  <si>
    <t>Switches</t>
  </si>
  <si>
    <t>Year</t>
  </si>
  <si>
    <t xml:space="preserve">Metric </t>
  </si>
  <si>
    <t xml:space="preserve">Revenue </t>
  </si>
  <si>
    <t>EBIT</t>
  </si>
  <si>
    <t>WACC</t>
  </si>
  <si>
    <t>TGR</t>
  </si>
  <si>
    <t xml:space="preserve">EBIT </t>
  </si>
  <si>
    <t>Valuation</t>
  </si>
  <si>
    <t xml:space="preserve">Income Statement </t>
  </si>
  <si>
    <t>Revenue</t>
  </si>
  <si>
    <t xml:space="preserve">% Growth </t>
  </si>
  <si>
    <t>NA</t>
  </si>
  <si>
    <t>% of Sales</t>
  </si>
  <si>
    <t>Cash Flow Items</t>
  </si>
  <si>
    <t>D&amp;A</t>
  </si>
  <si>
    <t>CapEX</t>
  </si>
  <si>
    <t>Change in NWC</t>
  </si>
  <si>
    <t>% Change in Sales</t>
  </si>
  <si>
    <t xml:space="preserve">Discounted Cash Flow </t>
  </si>
  <si>
    <t>% growth</t>
  </si>
  <si>
    <t>Conservative Case</t>
  </si>
  <si>
    <t>Optimisitc Case</t>
  </si>
  <si>
    <t>Taxes</t>
  </si>
  <si>
    <t xml:space="preserve">% of EBIT </t>
  </si>
  <si>
    <t xml:space="preserve">D&amp;A </t>
  </si>
  <si>
    <t xml:space="preserve">% of Sales </t>
  </si>
  <si>
    <t>Unlevered Free Cash Flow</t>
  </si>
  <si>
    <t>29-30</t>
  </si>
  <si>
    <t>26-28</t>
  </si>
  <si>
    <t>26 - 28</t>
  </si>
  <si>
    <t>Base Case</t>
  </si>
  <si>
    <t>26-27</t>
  </si>
  <si>
    <t>28-30</t>
  </si>
  <si>
    <t>Terminal Value</t>
  </si>
  <si>
    <t>Enterprise Value</t>
  </si>
  <si>
    <t>Present Value of FCF (Inc. Terminal Value)</t>
  </si>
  <si>
    <t xml:space="preserve">Net Debt </t>
  </si>
  <si>
    <t xml:space="preserve">Shares Outstanding </t>
  </si>
  <si>
    <t>Implied Share Price</t>
  </si>
  <si>
    <t>Current Price</t>
  </si>
  <si>
    <t>Upside</t>
  </si>
  <si>
    <t>Rolling Median is used for the effective tax rate</t>
  </si>
  <si>
    <t xml:space="preserve">Terminal Growth rate is long run GDP growth </t>
  </si>
  <si>
    <t>Discounted Cash Flow</t>
  </si>
  <si>
    <t>Optimistic Casse</t>
  </si>
  <si>
    <t>Net Income After Tax (Exc. Interest)</t>
  </si>
  <si>
    <t xml:space="preserve">NZSE:AIA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</si>
</sst>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164" formatCode="_(&quot;$&quot;* #,##0_);_(&quot;$&quot;* \(#,##0\);_(&quot;$&quot;* &quot;-&quot;_);_(@_)"/>
    <numFmt numFmtId="165" formatCode="&quot;FY&quot;\ yyyy"/>
    <numFmt numFmtId="166" formatCode="yyyy&quot;E&quot;"/>
    <numFmt numFmtId="167" formatCode="0.0%"/>
    <numFmt numFmtId="168" formatCode="&quot;$&quot;#,##0.00"/>
    <numFmt numFmtId="169" formatCode="0.000%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Mon"/>
    </font>
    <font>
      <b/>
      <u/>
      <sz val="11"/>
      <color theme="1"/>
      <name val="Calibri"/>
      <family val="2"/>
      <scheme val="minor"/>
    </font>
    <font>
      <b/>
      <i/>
      <sz val="26"/>
      <color theme="1"/>
      <name val="Mon"/>
    </font>
    <font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1"/>
      <color theme="2"/>
      <name val="Calibri"/>
      <family val="2"/>
      <scheme val="minor"/>
    </font>
    <font>
      <sz val="11"/>
      <color theme="6"/>
      <name val="Calibri"/>
      <family val="2"/>
      <scheme val="minor"/>
    </font>
    <font>
      <sz val="28"/>
      <color theme="6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Agency FB"/>
      <family val="2"/>
    </font>
    <font>
      <b/>
      <sz val="11"/>
      <color theme="0"/>
      <name val="Abadi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-0.2499465926084170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9" fillId="3" borderId="1">
      <alignment horizontal="right"/>
    </xf>
    <xf numFmtId="0" fontId="10" fillId="3" borderId="0"/>
  </cellStyleXfs>
  <cellXfs count="7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textRotation="53"/>
    </xf>
    <xf numFmtId="0" fontId="14" fillId="2" borderId="0" xfId="0" applyFont="1" applyFill="1"/>
    <xf numFmtId="0" fontId="15" fillId="2" borderId="0" xfId="0" applyFont="1" applyFill="1"/>
    <xf numFmtId="0" fontId="15" fillId="4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2" xfId="0" applyFill="1" applyBorder="1"/>
    <xf numFmtId="0" fontId="1" fillId="4" borderId="0" xfId="0" applyFont="1" applyFill="1"/>
    <xf numFmtId="0" fontId="16" fillId="4" borderId="0" xfId="0" applyFont="1" applyFill="1"/>
    <xf numFmtId="0" fontId="2" fillId="2" borderId="3" xfId="0" applyFont="1" applyFill="1" applyBorder="1"/>
    <xf numFmtId="0" fontId="7" fillId="2" borderId="3" xfId="0" applyFont="1" applyFill="1" applyBorder="1"/>
    <xf numFmtId="0" fontId="0" fillId="2" borderId="3" xfId="0" applyFill="1" applyBorder="1"/>
    <xf numFmtId="14" fontId="0" fillId="5" borderId="2" xfId="0" applyNumberFormat="1" applyFill="1" applyBorder="1"/>
    <xf numFmtId="0" fontId="17" fillId="5" borderId="2" xfId="0" applyFont="1" applyFill="1" applyBorder="1"/>
    <xf numFmtId="16" fontId="0" fillId="5" borderId="2" xfId="0" applyNumberFormat="1" applyFill="1" applyBorder="1"/>
    <xf numFmtId="0" fontId="18" fillId="2" borderId="3" xfId="0" applyFont="1" applyFill="1" applyBorder="1"/>
    <xf numFmtId="0" fontId="3" fillId="6" borderId="0" xfId="0" applyFont="1" applyFill="1"/>
    <xf numFmtId="0" fontId="2" fillId="4" borderId="0" xfId="0" applyFont="1" applyFill="1"/>
    <xf numFmtId="0" fontId="19" fillId="2" borderId="0" xfId="0" applyFont="1" applyFill="1"/>
    <xf numFmtId="1" fontId="19" fillId="2" borderId="0" xfId="0" applyNumberFormat="1" applyFont="1" applyFill="1"/>
    <xf numFmtId="0" fontId="1" fillId="6" borderId="0" xfId="0" applyFont="1" applyFill="1"/>
    <xf numFmtId="1" fontId="0" fillId="2" borderId="0" xfId="0" applyNumberFormat="1" applyFill="1"/>
    <xf numFmtId="10" fontId="0" fillId="2" borderId="0" xfId="0" applyNumberFormat="1" applyFill="1"/>
    <xf numFmtId="1" fontId="20" fillId="2" borderId="0" xfId="0" applyNumberFormat="1" applyFont="1" applyFill="1"/>
    <xf numFmtId="1" fontId="21" fillId="2" borderId="0" xfId="0" applyNumberFormat="1" applyFont="1" applyFill="1"/>
    <xf numFmtId="0" fontId="21" fillId="2" borderId="0" xfId="0" applyFont="1" applyFill="1"/>
    <xf numFmtId="0" fontId="0" fillId="2" borderId="0" xfId="0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5" fontId="1" fillId="6" borderId="0" xfId="0" applyNumberFormat="1" applyFont="1" applyFill="1"/>
    <xf numFmtId="166" fontId="1" fillId="6" borderId="0" xfId="0" applyNumberFormat="1" applyFont="1" applyFill="1"/>
    <xf numFmtId="166" fontId="1" fillId="6" borderId="0" xfId="0" applyNumberFormat="1" applyFont="1" applyFill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0" fontId="0" fillId="5" borderId="2" xfId="0" applyNumberFormat="1" applyFill="1" applyBorder="1"/>
    <xf numFmtId="0" fontId="3" fillId="2" borderId="0" xfId="0" applyFont="1" applyFill="1"/>
    <xf numFmtId="0" fontId="1" fillId="2" borderId="0" xfId="0" applyFont="1" applyFill="1"/>
    <xf numFmtId="167" fontId="0" fillId="2" borderId="0" xfId="0" applyNumberFormat="1" applyFill="1"/>
    <xf numFmtId="0" fontId="22" fillId="2" borderId="0" xfId="0" applyFont="1" applyFill="1"/>
    <xf numFmtId="1" fontId="22" fillId="2" borderId="0" xfId="0" applyNumberFormat="1" applyFont="1" applyFill="1"/>
    <xf numFmtId="10" fontId="22" fillId="2" borderId="0" xfId="0" applyNumberFormat="1" applyFont="1" applyFill="1"/>
    <xf numFmtId="0" fontId="22" fillId="2" borderId="0" xfId="0" applyFont="1" applyFill="1" applyAlignment="1">
      <alignment horizontal="right"/>
    </xf>
    <xf numFmtId="10" fontId="0" fillId="2" borderId="0" xfId="0" applyNumberFormat="1" applyFill="1" applyAlignment="1">
      <alignment horizontal="right"/>
    </xf>
    <xf numFmtId="9" fontId="0" fillId="5" borderId="2" xfId="0" applyNumberFormat="1" applyFill="1" applyBorder="1"/>
    <xf numFmtId="167" fontId="0" fillId="5" borderId="2" xfId="0" applyNumberFormat="1" applyFill="1" applyBorder="1"/>
    <xf numFmtId="2" fontId="20" fillId="2" borderId="0" xfId="0" applyNumberFormat="1" applyFont="1" applyFill="1"/>
    <xf numFmtId="167" fontId="22" fillId="2" borderId="0" xfId="0" applyNumberFormat="1" applyFont="1" applyFill="1"/>
    <xf numFmtId="1" fontId="0" fillId="2" borderId="3" xfId="0" applyNumberFormat="1" applyFill="1" applyBorder="1"/>
    <xf numFmtId="14" fontId="1" fillId="6" borderId="0" xfId="0" applyNumberFormat="1" applyFont="1" applyFill="1" applyAlignment="1">
      <alignment horizontal="center"/>
    </xf>
    <xf numFmtId="167" fontId="0" fillId="2" borderId="0" xfId="0" applyNumberFormat="1" applyFill="1" applyAlignment="1">
      <alignment horizontal="right"/>
    </xf>
    <xf numFmtId="1" fontId="2" fillId="2" borderId="5" xfId="0" applyNumberFormat="1" applyFont="1" applyFill="1" applyBorder="1"/>
    <xf numFmtId="0" fontId="0" fillId="2" borderId="9" xfId="0" applyFill="1" applyBorder="1"/>
    <xf numFmtId="0" fontId="0" fillId="2" borderId="10" xfId="0" applyFill="1" applyBorder="1"/>
    <xf numFmtId="1" fontId="0" fillId="2" borderId="11" xfId="0" applyNumberFormat="1" applyFill="1" applyBorder="1"/>
    <xf numFmtId="1" fontId="0" fillId="2" borderId="12" xfId="0" applyNumberFormat="1" applyFill="1" applyBorder="1"/>
    <xf numFmtId="37" fontId="0" fillId="5" borderId="2" xfId="0" applyNumberFormat="1" applyFill="1" applyBorder="1"/>
    <xf numFmtId="42" fontId="0" fillId="5" borderId="2" xfId="0" applyNumberFormat="1" applyFill="1" applyBorder="1"/>
    <xf numFmtId="42" fontId="0" fillId="2" borderId="0" xfId="0" applyNumberFormat="1" applyFill="1"/>
    <xf numFmtId="0" fontId="5" fillId="2" borderId="6" xfId="0" applyFont="1" applyFill="1" applyBorder="1"/>
    <xf numFmtId="10" fontId="5" fillId="2" borderId="12" xfId="0" applyNumberFormat="1" applyFont="1" applyFill="1" applyBorder="1"/>
    <xf numFmtId="0" fontId="7" fillId="2" borderId="0" xfId="0" applyFont="1" applyFill="1"/>
    <xf numFmtId="0" fontId="24" fillId="2" borderId="0" xfId="0" applyFont="1" applyFill="1"/>
    <xf numFmtId="3" fontId="0" fillId="2" borderId="11" xfId="0" applyNumberFormat="1" applyFill="1" applyBorder="1"/>
    <xf numFmtId="168" fontId="7" fillId="2" borderId="11" xfId="0" applyNumberFormat="1" applyFont="1" applyFill="1" applyBorder="1"/>
    <xf numFmtId="0" fontId="5" fillId="2" borderId="3" xfId="0" applyFont="1" applyFill="1" applyBorder="1"/>
    <xf numFmtId="169" fontId="0" fillId="5" borderId="2" xfId="0" applyNumberFormat="1" applyFill="1" applyBorder="1"/>
    <xf numFmtId="164" fontId="23" fillId="2" borderId="9" xfId="0" applyNumberFormat="1" applyFont="1" applyFill="1" applyBorder="1"/>
    <xf numFmtId="164" fontId="2" fillId="2" borderId="11" xfId="0" applyNumberFormat="1" applyFont="1" applyFill="1" applyBorder="1"/>
  </cellXfs>
  <cellStyles count="3">
    <cellStyle name="blp_column_header" xfId="2" xr:uid="{348C32C9-D4AC-4295-AF5C-341335F55825}"/>
    <cellStyle name="fa_column_header_bottom" xfId="1" xr:uid="{FC43CF84-4D7B-453E-9111-AF0ABE0E383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552450</xdr:rowOff>
    </xdr:from>
    <xdr:to>
      <xdr:col>9</xdr:col>
      <xdr:colOff>152400</xdr:colOff>
      <xdr:row>1</xdr:row>
      <xdr:rowOff>2163763</xdr:rowOff>
    </xdr:to>
    <xdr:pic>
      <xdr:nvPicPr>
        <xdr:cNvPr id="3" name="Picture 2" descr="Overview | Auckland Airport | Routes">
          <a:extLst>
            <a:ext uri="{FF2B5EF4-FFF2-40B4-BE49-F238E27FC236}">
              <a16:creationId xmlns:a16="http://schemas.microsoft.com/office/drawing/2014/main" id="{A450FB63-DEC7-6EED-B851-7A9685628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3028950"/>
          <a:ext cx="3867150" cy="1611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student.otago.ac.nz/mds/Profiles-V2/l/leeph510/RedirectedFolders/Desktop/Auckland%20International%20DCF/Source%20Data/Key%20Stats.xlsx" TargetMode="External"/><Relationship Id="rId1" Type="http://schemas.openxmlformats.org/officeDocument/2006/relationships/externalLinkPath" Target="https://otagouni-my.sharepoint.com/student.otago.ac.nz/mds/Profiles-V2/l/leeph510/RedirectedFolders/Desktop/Auckland%20International%20DCF/Source%20Data/Key%20Sta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student.otago.ac.nz/mds/Profiles-V2/l/leeph510/RedirectedFolders/Desktop/Auckland%20International%20DCF/Source%20Data/Regression%20of%20NZSE%20and%20AIA.xlsx" TargetMode="External"/><Relationship Id="rId1" Type="http://schemas.openxmlformats.org/officeDocument/2006/relationships/externalLinkPath" Target="https://otagouni-my.sharepoint.com/student.otago.ac.nz/mds/Profiles-V2/l/leeph510/RedirectedFolders/Desktop/Auckland%20International%20DCF/Source%20Data/Regression%20of%20NZSE%20and%20AI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student.otago.ac.nz/mds/Profiles-V2/l/leeph510/RedirectedFolders/Desktop/Auckland%20International%20DCF/Source%20Data/Discount%20Rate%20and%20Beta%20Calculations.xlsx" TargetMode="External"/><Relationship Id="rId1" Type="http://schemas.openxmlformats.org/officeDocument/2006/relationships/externalLinkPath" Target="https://otagouni-my.sharepoint.com/student.otago.ac.nz/mds/Profiles-V2/l/leeph510/RedirectedFolders/Desktop/Auckland%20International%20DCF/Source%20Data/Discount%20Rate%20and%20Beta%20Calculation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student.otago.ac.nz/mds/Profiles-V2/l/leeph510/RedirectedFolders/Desktop/Auckland%20International%20DCF/Source%20Data/Income%20Statement%20-%20Historical%20and%20Forecasrt.xlsx" TargetMode="External"/><Relationship Id="rId1" Type="http://schemas.openxmlformats.org/officeDocument/2006/relationships/externalLinkPath" Target="https://otagouni-my.sharepoint.com/student.otago.ac.nz/mds/Profiles-V2/l/leeph510/RedirectedFolders/Desktop/Auckland%20International%20DCF/Source%20Data/Income%20Statement%20-%20Historical%20and%20Forecasr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student.otago.ac.nz/mds/Profiles-V2/l/leeph510/RedirectedFolders/Desktop/Auckland%20International%20DCF/Source%20Data/CashFlow%20Statement%20Historical.xlsx" TargetMode="External"/><Relationship Id="rId1" Type="http://schemas.openxmlformats.org/officeDocument/2006/relationships/externalLinkPath" Target="https://otagouni-my.sharepoint.com/student.otago.ac.nz/mds/Profiles-V2/l/leeph510/RedirectedFolders/Desktop/Auckland%20International%20DCF/Source%20Data/CashFlow%20Statement%20Historica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student.otago.ac.nz/mds/Profiles-V2/l/leeph510/RedirectedFolders/Desktop/Auckland%20International%20DCF/Source%20Data/Actual%20CAPEX%20figures%20and%20Info.xlsx" TargetMode="External"/><Relationship Id="rId1" Type="http://schemas.openxmlformats.org/officeDocument/2006/relationships/externalLinkPath" Target="https://otagouni-my.sharepoint.com/student.otago.ac.nz/mds/Profiles-V2/l/leeph510/RedirectedFolders/Desktop/Auckland%20International%20DCF/Source%20Data/Actual%20CAPEX%20figures%20and%20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y Stats "/>
    </sheetNames>
    <sheetDataSet>
      <sheetData sheetId="0">
        <row r="7">
          <cell r="H7">
            <v>360.6</v>
          </cell>
        </row>
        <row r="9">
          <cell r="H9">
            <v>2652.1</v>
          </cell>
        </row>
        <row r="28">
          <cell r="E28">
            <v>1695129603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 Beta "/>
      <sheetName val="NZ Government Yield 10 Year"/>
      <sheetName val="Capital Structure"/>
      <sheetName val="WACC and CAPM Calculation"/>
    </sheetNames>
    <sheetDataSet>
      <sheetData sheetId="0" refreshError="1"/>
      <sheetData sheetId="1" refreshError="1"/>
      <sheetData sheetId="2" refreshError="1">
        <row r="23">
          <cell r="C23">
            <v>14115400000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 Beta "/>
      <sheetName val="NZ Government Yield 10 Year"/>
      <sheetName val="Capital Structure"/>
      <sheetName val="WACC and CAPM Calculation"/>
    </sheetNames>
    <sheetDataSet>
      <sheetData sheetId="0" refreshError="1"/>
      <sheetData sheetId="1" refreshError="1"/>
      <sheetData sheetId="2" refreshError="1"/>
      <sheetData sheetId="3">
        <row r="21">
          <cell r="C21">
            <v>8.0034264873949573E-2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BG Adjusted"/>
    </sheetNames>
    <sheetDataSet>
      <sheetData sheetId="0" refreshError="1">
        <row r="6">
          <cell r="C6">
            <v>300</v>
          </cell>
          <cell r="D6">
            <v>617.70000000000005</v>
          </cell>
          <cell r="E6">
            <v>870.1</v>
          </cell>
          <cell r="F6">
            <v>968.9</v>
          </cell>
          <cell r="G6">
            <v>1031</v>
          </cell>
          <cell r="H6">
            <v>1127</v>
          </cell>
          <cell r="I6">
            <v>1302</v>
          </cell>
          <cell r="J6">
            <v>1416.6666666666699</v>
          </cell>
          <cell r="K6">
            <v>1553.6666666666699</v>
          </cell>
        </row>
        <row r="115">
          <cell r="C115">
            <v>38</v>
          </cell>
          <cell r="D115">
            <v>256.10000000000002</v>
          </cell>
          <cell r="E115">
            <v>441.5</v>
          </cell>
          <cell r="F115">
            <v>469.7</v>
          </cell>
          <cell r="G115">
            <v>495.90909090909099</v>
          </cell>
          <cell r="H115">
            <v>545.45454545454504</v>
          </cell>
          <cell r="I115">
            <v>636.4</v>
          </cell>
          <cell r="J115">
            <v>705.66666666666697</v>
          </cell>
          <cell r="K115">
            <v>786.33333333333303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h Flow - Standardized"/>
    </sheetNames>
    <sheetDataSet>
      <sheetData sheetId="0">
        <row r="8">
          <cell r="H8">
            <v>113.1</v>
          </cell>
          <cell r="I8">
            <v>145.30000000000001</v>
          </cell>
          <cell r="J8">
            <v>168.4</v>
          </cell>
          <cell r="K8">
            <v>200.7</v>
          </cell>
        </row>
        <row r="12">
          <cell r="H12">
            <v>-13.1</v>
          </cell>
          <cell r="I12">
            <v>70.900000000000006</v>
          </cell>
          <cell r="J12">
            <v>87.5</v>
          </cell>
          <cell r="K12">
            <v>-37.200000000000003</v>
          </cell>
        </row>
        <row r="50">
          <cell r="C50">
            <v>81.7</v>
          </cell>
          <cell r="D50">
            <v>96.4</v>
          </cell>
          <cell r="E50">
            <v>101.1</v>
          </cell>
          <cell r="F50">
            <v>94.2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EX &amp; Depreciation"/>
    </sheetNames>
    <sheetDataSet>
      <sheetData sheetId="0">
        <row r="13">
          <cell r="I13">
            <v>-224.8</v>
          </cell>
          <cell r="J13">
            <v>-465.1</v>
          </cell>
          <cell r="K13">
            <v>-847.2</v>
          </cell>
          <cell r="L13">
            <v>1089.9000000000001</v>
          </cell>
          <cell r="M13">
            <v>1177</v>
          </cell>
          <cell r="N13">
            <v>1197</v>
          </cell>
          <cell r="O13">
            <v>900</v>
          </cell>
          <cell r="P13">
            <v>800</v>
          </cell>
          <cell r="Q13">
            <v>800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D979-C874-4458-83FC-DEBE138A3096}">
  <dimension ref="D2:Z6"/>
  <sheetViews>
    <sheetView workbookViewId="0">
      <selection activeCell="P18" sqref="P18"/>
    </sheetView>
  </sheetViews>
  <sheetFormatPr defaultColWidth="9.140625" defaultRowHeight="15"/>
  <cols>
    <col min="1" max="16384" width="9.140625" style="1"/>
  </cols>
  <sheetData>
    <row r="2" spans="4:26" ht="209.25">
      <c r="W2" s="8"/>
      <c r="X2" s="9" t="s">
        <v>0</v>
      </c>
      <c r="Y2" s="9"/>
      <c r="Z2" s="8"/>
    </row>
    <row r="3" spans="4:26" ht="33">
      <c r="D3" s="5" t="s">
        <v>1</v>
      </c>
      <c r="E3" s="5"/>
      <c r="F3" s="2"/>
      <c r="G3" s="2"/>
      <c r="H3" s="2"/>
      <c r="Q3"/>
      <c r="W3" s="7"/>
      <c r="X3" s="7"/>
      <c r="Y3" s="7"/>
      <c r="Z3" s="7"/>
    </row>
    <row r="6" spans="4:26" ht="28.5">
      <c r="D6" s="6" t="s">
        <v>2</v>
      </c>
      <c r="E6" s="6"/>
      <c r="F6" s="6"/>
      <c r="G6" s="6"/>
      <c r="H6" s="3"/>
      <c r="I6" s="3"/>
      <c r="J6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9522-E9E9-4EC1-BAF7-0184A25DC764}">
  <dimension ref="B3:N24"/>
  <sheetViews>
    <sheetView topLeftCell="A6" zoomScale="125" workbookViewId="0">
      <selection activeCell="E24" sqref="E24"/>
    </sheetView>
  </sheetViews>
  <sheetFormatPr defaultColWidth="9.140625" defaultRowHeight="15"/>
  <cols>
    <col min="1" max="4" width="9.140625" style="1"/>
    <col min="5" max="5" width="27.42578125" style="1" bestFit="1" customWidth="1"/>
    <col min="6" max="16384" width="9.140625" style="1"/>
  </cols>
  <sheetData>
    <row r="3" spans="2:14" ht="18.75">
      <c r="B3" s="10" t="s">
        <v>3</v>
      </c>
      <c r="C3" s="10"/>
    </row>
    <row r="4" spans="2:14" ht="18.75">
      <c r="B4" s="10"/>
      <c r="C4" s="10"/>
    </row>
    <row r="5" spans="2:14">
      <c r="B5" s="17" t="s">
        <v>4</v>
      </c>
      <c r="C5" s="17"/>
      <c r="D5" s="17"/>
      <c r="E5" s="14"/>
      <c r="F5" s="14"/>
      <c r="G5" s="14"/>
      <c r="H5" s="14"/>
      <c r="I5" s="14"/>
      <c r="J5" s="14"/>
      <c r="K5" s="14"/>
      <c r="L5" s="14"/>
      <c r="M5" s="14"/>
    </row>
    <row r="6" spans="2:14" ht="18.75">
      <c r="B6" s="1" t="s">
        <v>5</v>
      </c>
      <c r="C6" s="10"/>
      <c r="E6" s="15" t="s">
        <v>70</v>
      </c>
    </row>
    <row r="7" spans="2:14" ht="18.75">
      <c r="B7" s="1" t="s">
        <v>6</v>
      </c>
      <c r="C7" s="10"/>
      <c r="E7" s="21">
        <f ca="1">TODAY()</f>
        <v>46085</v>
      </c>
    </row>
    <row r="8" spans="2:14" ht="18.75">
      <c r="B8" s="1" t="s">
        <v>7</v>
      </c>
      <c r="C8" s="10"/>
      <c r="E8" s="23">
        <v>46112</v>
      </c>
    </row>
    <row r="9" spans="2:14" ht="18.75">
      <c r="B9" s="10"/>
      <c r="C9" s="10"/>
    </row>
    <row r="10" spans="2:14">
      <c r="B10" s="17" t="s">
        <v>8</v>
      </c>
      <c r="C10" s="1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1"/>
    </row>
    <row r="12" spans="2:14">
      <c r="B12" s="1" t="s">
        <v>9</v>
      </c>
      <c r="E12" s="22">
        <v>1</v>
      </c>
    </row>
    <row r="14" spans="2:14">
      <c r="B14" s="17" t="s">
        <v>10</v>
      </c>
      <c r="C14" s="17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6" spans="2:14">
      <c r="B16" s="1" t="s">
        <v>11</v>
      </c>
      <c r="E16" s="21">
        <v>45900</v>
      </c>
    </row>
    <row r="17" spans="2:13">
      <c r="B17" s="1" t="s">
        <v>12</v>
      </c>
      <c r="E17" s="15"/>
    </row>
    <row r="19" spans="2:13">
      <c r="B19" s="16" t="s">
        <v>13</v>
      </c>
      <c r="C19" s="16"/>
      <c r="D19" s="16"/>
      <c r="E19" s="13"/>
      <c r="F19" s="13"/>
      <c r="G19" s="13"/>
      <c r="H19" s="13"/>
      <c r="I19" s="13"/>
      <c r="J19" s="13"/>
      <c r="K19" s="13"/>
      <c r="L19" s="13"/>
      <c r="M19" s="13"/>
    </row>
    <row r="21" spans="2:13">
      <c r="B21" s="1" t="s">
        <v>14</v>
      </c>
      <c r="E21" s="15">
        <v>9.07</v>
      </c>
    </row>
    <row r="22" spans="2:13">
      <c r="B22" s="1" t="s">
        <v>15</v>
      </c>
      <c r="E22" s="66">
        <f>'[1]Key Stats '!$E$28</f>
        <v>1695129603</v>
      </c>
    </row>
    <row r="23" spans="2:13">
      <c r="B23" s="1" t="s">
        <v>16</v>
      </c>
      <c r="E23" s="67">
        <f>'[2]Capital Structure'!$C$23</f>
        <v>14115400000</v>
      </c>
    </row>
    <row r="24" spans="2:13">
      <c r="B24" s="1" t="s">
        <v>17</v>
      </c>
      <c r="E24" s="15">
        <f>('[1]Key Stats '!$H$9-'[1]Key Stats '!$H$7)</f>
        <v>2291.5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C4AE-785F-4387-89E6-F7BF1A6EDC28}">
  <dimension ref="C6:G7"/>
  <sheetViews>
    <sheetView workbookViewId="0">
      <selection activeCell="P18" sqref="P18"/>
    </sheetView>
  </sheetViews>
  <sheetFormatPr defaultColWidth="8.85546875" defaultRowHeight="15"/>
  <cols>
    <col min="1" max="16384" width="8.85546875" style="1"/>
  </cols>
  <sheetData>
    <row r="6" spans="3:7">
      <c r="C6" s="71"/>
      <c r="D6" s="71"/>
      <c r="E6" s="71"/>
      <c r="F6" s="71"/>
      <c r="G6" s="71"/>
    </row>
    <row r="7" spans="3:7" ht="26.25">
      <c r="C7" s="71"/>
      <c r="D7" s="72" t="s">
        <v>67</v>
      </c>
      <c r="E7" s="72"/>
      <c r="F7" s="72"/>
      <c r="G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55C4-D46C-48B1-A96A-82738141912F}">
  <sheetPr>
    <tabColor rgb="FFFF0000"/>
  </sheetPr>
  <dimension ref="A2:W77"/>
  <sheetViews>
    <sheetView tabSelected="1" topLeftCell="A9" zoomScale="125" zoomScaleNormal="93" workbookViewId="0">
      <selection activeCell="F37" sqref="F37"/>
    </sheetView>
  </sheetViews>
  <sheetFormatPr defaultColWidth="9.140625" defaultRowHeight="15"/>
  <cols>
    <col min="1" max="1" width="9.140625" style="1"/>
    <col min="2" max="2" width="19" style="1" customWidth="1"/>
    <col min="3" max="3" width="0" style="1" hidden="1" customWidth="1"/>
    <col min="4" max="4" width="11" style="1" bestFit="1" customWidth="1"/>
    <col min="5" max="5" width="9.140625" style="1"/>
    <col min="6" max="8" width="10.7109375" style="1" bestFit="1" customWidth="1"/>
    <col min="9" max="9" width="18.140625" style="1" bestFit="1" customWidth="1"/>
    <col min="10" max="10" width="10.7109375" style="1" bestFit="1" customWidth="1"/>
    <col min="11" max="11" width="7.140625" style="1" bestFit="1" customWidth="1"/>
    <col min="12" max="12" width="16.28515625" style="1" bestFit="1" customWidth="1"/>
    <col min="13" max="13" width="7.140625" style="1" bestFit="1" customWidth="1"/>
    <col min="14" max="14" width="17.7109375" style="1" customWidth="1"/>
    <col min="15" max="16" width="9.140625" style="1"/>
    <col min="17" max="17" width="9.7109375" style="1" bestFit="1" customWidth="1"/>
    <col min="18" max="16384" width="9.140625" style="1"/>
  </cols>
  <sheetData>
    <row r="2" spans="1:23" s="20" customFormat="1" ht="23.25">
      <c r="A2" s="18"/>
      <c r="B2" s="24" t="s">
        <v>18</v>
      </c>
      <c r="C2" s="24"/>
      <c r="D2" s="24"/>
      <c r="E2" s="24"/>
      <c r="F2" s="19"/>
      <c r="G2" s="19"/>
      <c r="H2" s="75" t="str">
        <f>"Produced by Phoenix Leef-Harris"</f>
        <v>Produced by Phoenix Leef-Harris</v>
      </c>
      <c r="I2" s="75"/>
      <c r="J2" s="75"/>
      <c r="K2" s="19"/>
    </row>
    <row r="4" spans="1:23">
      <c r="B4" s="1" t="s">
        <v>5</v>
      </c>
      <c r="D4" s="15" t="s">
        <v>19</v>
      </c>
    </row>
    <row r="5" spans="1:23">
      <c r="B5" s="1" t="s">
        <v>20</v>
      </c>
      <c r="D5" s="21">
        <f ca="1">TODAY()</f>
        <v>46085</v>
      </c>
    </row>
    <row r="6" spans="1:23">
      <c r="B6" s="1" t="s">
        <v>7</v>
      </c>
      <c r="D6" s="23">
        <v>46112</v>
      </c>
    </row>
    <row r="8" spans="1:23">
      <c r="A8" s="1" t="s">
        <v>21</v>
      </c>
      <c r="B8" s="29" t="s">
        <v>22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10" spans="1:23">
      <c r="B10" s="16" t="s">
        <v>23</v>
      </c>
      <c r="C10" s="26"/>
      <c r="D10" s="26"/>
      <c r="E10" s="26"/>
      <c r="G10" s="16" t="s">
        <v>44</v>
      </c>
      <c r="H10" s="26"/>
      <c r="I10" s="26"/>
      <c r="J10" s="26"/>
      <c r="L10" s="16" t="s">
        <v>68</v>
      </c>
      <c r="M10" s="26"/>
      <c r="N10" s="26"/>
      <c r="O10" s="26"/>
    </row>
    <row r="11" spans="1:23">
      <c r="B11" s="4" t="s">
        <v>3</v>
      </c>
      <c r="G11" s="4" t="s">
        <v>3</v>
      </c>
      <c r="I11" s="4" t="s">
        <v>24</v>
      </c>
      <c r="J11" s="4" t="s">
        <v>25</v>
      </c>
      <c r="L11" s="4" t="s">
        <v>3</v>
      </c>
      <c r="N11" s="4" t="s">
        <v>24</v>
      </c>
      <c r="O11" s="4" t="s">
        <v>25</v>
      </c>
    </row>
    <row r="12" spans="1:23">
      <c r="B12" s="1" t="s">
        <v>26</v>
      </c>
      <c r="E12" s="15">
        <v>2</v>
      </c>
      <c r="G12" s="1" t="s">
        <v>33</v>
      </c>
      <c r="I12" s="1" t="s">
        <v>53</v>
      </c>
      <c r="J12" s="45">
        <v>1.2E-2</v>
      </c>
      <c r="L12" s="1" t="s">
        <v>26</v>
      </c>
      <c r="N12" s="1" t="s">
        <v>52</v>
      </c>
      <c r="O12" s="54">
        <v>7.0000000000000007E-2</v>
      </c>
    </row>
    <row r="13" spans="1:23">
      <c r="B13" s="1" t="s">
        <v>27</v>
      </c>
      <c r="E13" s="15">
        <v>2</v>
      </c>
      <c r="G13" s="1" t="s">
        <v>26</v>
      </c>
      <c r="I13" s="1" t="s">
        <v>51</v>
      </c>
      <c r="J13" s="45">
        <v>0.02</v>
      </c>
      <c r="L13" s="1" t="str">
        <f>L12</f>
        <v xml:space="preserve">Revenue </v>
      </c>
      <c r="N13" s="1" t="s">
        <v>51</v>
      </c>
      <c r="O13" s="54">
        <v>0.05</v>
      </c>
    </row>
    <row r="14" spans="1:23">
      <c r="B14" s="1" t="s">
        <v>28</v>
      </c>
      <c r="E14" s="15">
        <v>2</v>
      </c>
      <c r="G14" s="1" t="s">
        <v>27</v>
      </c>
      <c r="I14" s="1" t="s">
        <v>55</v>
      </c>
      <c r="J14" s="45">
        <v>-0.25</v>
      </c>
      <c r="L14" s="1" t="s">
        <v>30</v>
      </c>
      <c r="N14" s="1" t="s">
        <v>52</v>
      </c>
      <c r="O14" s="45">
        <v>7.0000000000000007E-2</v>
      </c>
    </row>
    <row r="15" spans="1:23">
      <c r="B15" s="1" t="s">
        <v>29</v>
      </c>
      <c r="E15" s="15">
        <v>2</v>
      </c>
      <c r="G15" s="1" t="s">
        <v>27</v>
      </c>
      <c r="I15" s="1" t="s">
        <v>56</v>
      </c>
      <c r="J15" s="55">
        <v>-0.1</v>
      </c>
      <c r="L15" s="1" t="s">
        <v>30</v>
      </c>
      <c r="N15" s="1" t="s">
        <v>51</v>
      </c>
      <c r="O15" s="45">
        <v>0.03</v>
      </c>
    </row>
    <row r="17" spans="1:23">
      <c r="B17" s="4" t="s">
        <v>31</v>
      </c>
      <c r="G17" s="4"/>
      <c r="L17" s="4"/>
    </row>
    <row r="18" spans="1:23">
      <c r="B18" s="1" t="s">
        <v>28</v>
      </c>
      <c r="E18" s="45">
        <f>'[3]WACC and CAPM Calculation'!$C$21</f>
        <v>8.0034264873949573E-2</v>
      </c>
    </row>
    <row r="19" spans="1:23">
      <c r="B19" s="1" t="s">
        <v>29</v>
      </c>
      <c r="E19" s="76">
        <v>6.1000000000000004E-3</v>
      </c>
    </row>
    <row r="23" spans="1:23">
      <c r="A23" s="1" t="s">
        <v>21</v>
      </c>
      <c r="B23" s="29" t="s">
        <v>32</v>
      </c>
      <c r="C23" s="25"/>
      <c r="D23" s="25"/>
      <c r="E23" s="37">
        <v>44756</v>
      </c>
      <c r="F23" s="37">
        <f>EDATE(E23,12)</f>
        <v>45121</v>
      </c>
      <c r="G23" s="37">
        <f t="shared" ref="G23:M23" si="0">EDATE(F23,12)</f>
        <v>45487</v>
      </c>
      <c r="H23" s="37">
        <f t="shared" si="0"/>
        <v>45852</v>
      </c>
      <c r="I23" s="38">
        <f>EDATE(H23,12)</f>
        <v>46217</v>
      </c>
      <c r="J23" s="38">
        <f t="shared" si="0"/>
        <v>46582</v>
      </c>
      <c r="K23" s="38">
        <f t="shared" si="0"/>
        <v>46948</v>
      </c>
      <c r="L23" s="38">
        <f t="shared" si="0"/>
        <v>47313</v>
      </c>
      <c r="M23" s="38">
        <f t="shared" si="0"/>
        <v>47678</v>
      </c>
      <c r="N23" s="59" t="s">
        <v>57</v>
      </c>
      <c r="O23" s="46"/>
      <c r="P23" s="46"/>
      <c r="Q23" s="46"/>
      <c r="R23" s="46"/>
      <c r="S23" s="46"/>
      <c r="T23" s="46"/>
      <c r="U23" s="46"/>
      <c r="V23" s="46"/>
      <c r="W23" s="46"/>
    </row>
    <row r="24" spans="1:23">
      <c r="B24" s="1" t="s">
        <v>33</v>
      </c>
      <c r="E24" s="28">
        <f>'[4]BBG Adjusted'!C6</f>
        <v>300</v>
      </c>
      <c r="F24" s="28">
        <f>'[4]BBG Adjusted'!D6</f>
        <v>617.70000000000005</v>
      </c>
      <c r="G24" s="28">
        <f>'[4]BBG Adjusted'!E6</f>
        <v>870.1</v>
      </c>
      <c r="H24" s="28">
        <f>'[4]BBG Adjusted'!F6</f>
        <v>968.9</v>
      </c>
      <c r="I24" s="32">
        <f>'[4]BBG Adjusted'!G6</f>
        <v>1031</v>
      </c>
      <c r="J24" s="32">
        <f>'[4]BBG Adjusted'!H6</f>
        <v>1127</v>
      </c>
      <c r="K24" s="32">
        <f>'[4]BBG Adjusted'!I6</f>
        <v>1302</v>
      </c>
      <c r="L24" s="32">
        <f>'[4]BBG Adjusted'!J6</f>
        <v>1416.6666666666699</v>
      </c>
      <c r="M24" s="32">
        <f>'[4]BBG Adjusted'!K6</f>
        <v>1553.6666666666699</v>
      </c>
      <c r="N24" s="27"/>
    </row>
    <row r="25" spans="1:23">
      <c r="B25" s="1" t="s">
        <v>34</v>
      </c>
      <c r="E25" s="35" t="s">
        <v>35</v>
      </c>
      <c r="F25" s="31">
        <f>F24/E24-1</f>
        <v>1.0590000000000002</v>
      </c>
      <c r="G25" s="31">
        <f t="shared" ref="G25:M25" si="1">G24/F24-1</f>
        <v>0.4086125951108952</v>
      </c>
      <c r="H25" s="31">
        <f t="shared" si="1"/>
        <v>0.11355016664751183</v>
      </c>
      <c r="I25" s="31">
        <f>I24/H24-1</f>
        <v>6.4093301682320192E-2</v>
      </c>
      <c r="J25" s="31">
        <f>J24/I24-1</f>
        <v>9.3113482056256025E-2</v>
      </c>
      <c r="K25" s="31">
        <f t="shared" si="1"/>
        <v>0.15527950310559002</v>
      </c>
      <c r="L25" s="31">
        <f t="shared" si="1"/>
        <v>8.8069636456735712E-2</v>
      </c>
      <c r="M25" s="31">
        <f t="shared" si="1"/>
        <v>9.6705882352940975E-2</v>
      </c>
    </row>
    <row r="27" spans="1:23">
      <c r="B27" s="1" t="s">
        <v>30</v>
      </c>
      <c r="E27" s="28">
        <f>'[4]BBG Adjusted'!C115</f>
        <v>38</v>
      </c>
      <c r="F27" s="28">
        <f>'[4]BBG Adjusted'!D115</f>
        <v>256.10000000000002</v>
      </c>
      <c r="G27" s="28">
        <f>'[4]BBG Adjusted'!E115</f>
        <v>441.5</v>
      </c>
      <c r="H27" s="28">
        <f>'[4]BBG Adjusted'!F115</f>
        <v>469.7</v>
      </c>
      <c r="I27" s="32">
        <f>'[4]BBG Adjusted'!G115</f>
        <v>495.90909090909099</v>
      </c>
      <c r="J27" s="32">
        <f>'[4]BBG Adjusted'!H115</f>
        <v>545.45454545454504</v>
      </c>
      <c r="K27" s="32">
        <f>'[4]BBG Adjusted'!I115</f>
        <v>636.4</v>
      </c>
      <c r="L27" s="32">
        <f>'[4]BBG Adjusted'!J115</f>
        <v>705.66666666666697</v>
      </c>
      <c r="M27" s="32">
        <f>'[4]BBG Adjusted'!K115</f>
        <v>786.33333333333303</v>
      </c>
    </row>
    <row r="28" spans="1:23">
      <c r="B28" s="1" t="s">
        <v>36</v>
      </c>
      <c r="E28" s="48">
        <f>E27/E24</f>
        <v>0.12666666666666668</v>
      </c>
      <c r="F28" s="48">
        <f t="shared" ref="F28:M28" si="2">F27/F24</f>
        <v>0.4146025578759916</v>
      </c>
      <c r="G28" s="48">
        <f t="shared" si="2"/>
        <v>0.50741294104125956</v>
      </c>
      <c r="H28" s="48">
        <f t="shared" si="2"/>
        <v>0.48477655072762926</v>
      </c>
      <c r="I28" s="48">
        <f>I27/I24</f>
        <v>0.48099814831143645</v>
      </c>
      <c r="J28" s="48">
        <f>J27/J24</f>
        <v>0.48398806162781283</v>
      </c>
      <c r="K28" s="48">
        <f t="shared" si="2"/>
        <v>0.48878648233486943</v>
      </c>
      <c r="L28" s="48">
        <f t="shared" si="2"/>
        <v>0.49811764705882261</v>
      </c>
      <c r="M28" s="48">
        <f t="shared" si="2"/>
        <v>0.50611456768933583</v>
      </c>
    </row>
    <row r="30" spans="1:23">
      <c r="A30" s="1" t="s">
        <v>21</v>
      </c>
      <c r="B30" s="29" t="s">
        <v>37</v>
      </c>
      <c r="C30" s="25"/>
      <c r="D30" s="25"/>
      <c r="E30" s="37">
        <f>E23</f>
        <v>44756</v>
      </c>
      <c r="F30" s="37">
        <f t="shared" ref="F30:M30" si="3">F23</f>
        <v>45121</v>
      </c>
      <c r="G30" s="37">
        <f t="shared" si="3"/>
        <v>45487</v>
      </c>
      <c r="H30" s="37">
        <f t="shared" si="3"/>
        <v>45852</v>
      </c>
      <c r="I30" s="38">
        <f>I23</f>
        <v>46217</v>
      </c>
      <c r="J30" s="38">
        <f t="shared" si="3"/>
        <v>46582</v>
      </c>
      <c r="K30" s="38">
        <f t="shared" si="3"/>
        <v>46948</v>
      </c>
      <c r="L30" s="38">
        <f t="shared" si="3"/>
        <v>47313</v>
      </c>
      <c r="M30" s="38">
        <f t="shared" si="3"/>
        <v>47678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spans="1:23">
      <c r="B31" s="1" t="s">
        <v>38</v>
      </c>
      <c r="E31" s="33">
        <f>'[5]Cash Flow - Standardized'!H8</f>
        <v>113.1</v>
      </c>
      <c r="F31" s="33">
        <f>'[5]Cash Flow - Standardized'!I8</f>
        <v>145.30000000000001</v>
      </c>
      <c r="G31" s="33">
        <f>'[5]Cash Flow - Standardized'!J8</f>
        <v>168.4</v>
      </c>
      <c r="H31" s="33">
        <f>'[5]Cash Flow - Standardized'!K8</f>
        <v>200.7</v>
      </c>
      <c r="I31" s="32">
        <f>H31*(1+(H31/G31-1))</f>
        <v>239.19530878859854</v>
      </c>
      <c r="J31" s="32">
        <f>I31*(1+(I31/H31-1))</f>
        <v>285.07421896598413</v>
      </c>
      <c r="K31" s="32">
        <f t="shared" ref="K31:M31" si="4">J31*(1+(J31/I31-1))</f>
        <v>339.75294386266631</v>
      </c>
      <c r="L31" s="32">
        <f t="shared" si="4"/>
        <v>404.91933392658626</v>
      </c>
      <c r="M31" s="32">
        <f t="shared" si="4"/>
        <v>482.58497814172125</v>
      </c>
    </row>
    <row r="32" spans="1:23">
      <c r="B32" s="1" t="s">
        <v>36</v>
      </c>
      <c r="E32" s="48">
        <f>E31/E24</f>
        <v>0.377</v>
      </c>
      <c r="F32" s="48">
        <f t="shared" ref="F32:H32" si="5">F31/F24</f>
        <v>0.23522745669418813</v>
      </c>
      <c r="G32" s="48">
        <f t="shared" si="5"/>
        <v>0.19354097230203426</v>
      </c>
      <c r="H32" s="48">
        <f t="shared" si="5"/>
        <v>0.20714211992981732</v>
      </c>
      <c r="I32" s="31">
        <f>I31/I24</f>
        <v>0.23200320930028956</v>
      </c>
      <c r="J32" s="31">
        <f t="shared" ref="J32:M32" si="6">J31/J24</f>
        <v>0.25294961753858397</v>
      </c>
      <c r="K32" s="31">
        <f t="shared" si="6"/>
        <v>0.2609469614920632</v>
      </c>
      <c r="L32" s="31">
        <f t="shared" si="6"/>
        <v>0.28582541218347202</v>
      </c>
      <c r="M32" s="31">
        <f t="shared" si="6"/>
        <v>0.31061036996892527</v>
      </c>
    </row>
    <row r="34" spans="1:23">
      <c r="B34" s="1" t="s">
        <v>39</v>
      </c>
      <c r="E34" s="33">
        <f>'[6]CAPEX &amp; Depreciation'!I13*-1</f>
        <v>224.8</v>
      </c>
      <c r="F34" s="33">
        <f>'[6]CAPEX &amp; Depreciation'!J13*-1</f>
        <v>465.1</v>
      </c>
      <c r="G34" s="33">
        <f>'[6]CAPEX &amp; Depreciation'!K13*-1</f>
        <v>847.2</v>
      </c>
      <c r="H34" s="33">
        <f>'[6]CAPEX &amp; Depreciation'!L13</f>
        <v>1089.9000000000001</v>
      </c>
      <c r="I34" s="32">
        <f>'[6]CAPEX &amp; Depreciation'!M13</f>
        <v>1177</v>
      </c>
      <c r="J34" s="32">
        <f>'[6]CAPEX &amp; Depreciation'!N13</f>
        <v>1197</v>
      </c>
      <c r="K34" s="32">
        <f>'[6]CAPEX &amp; Depreciation'!O13</f>
        <v>900</v>
      </c>
      <c r="L34" s="32">
        <f>'[6]CAPEX &amp; Depreciation'!P13</f>
        <v>800</v>
      </c>
      <c r="M34" s="32">
        <f>'[6]CAPEX &amp; Depreciation'!Q13</f>
        <v>800</v>
      </c>
      <c r="N34" s="30"/>
    </row>
    <row r="35" spans="1:23">
      <c r="B35" s="1" t="s">
        <v>36</v>
      </c>
      <c r="E35" s="48">
        <f>E34/E24</f>
        <v>0.74933333333333341</v>
      </c>
      <c r="F35" s="48">
        <f t="shared" ref="F35:H35" si="7">F34/F24</f>
        <v>0.75295450866116231</v>
      </c>
      <c r="G35" s="48">
        <f t="shared" si="7"/>
        <v>0.97368118607056664</v>
      </c>
      <c r="H35" s="48">
        <f t="shared" si="7"/>
        <v>1.1248838889462278</v>
      </c>
      <c r="I35" s="31">
        <f>I34/I24</f>
        <v>1.1416100872938895</v>
      </c>
      <c r="J35" s="31">
        <f t="shared" ref="J35:M35" si="8">J34/J24</f>
        <v>1.0621118012422359</v>
      </c>
      <c r="K35" s="31">
        <f t="shared" si="8"/>
        <v>0.69124423963133641</v>
      </c>
      <c r="L35" s="31">
        <f t="shared" si="8"/>
        <v>0.56470588235293984</v>
      </c>
      <c r="M35" s="31">
        <f t="shared" si="8"/>
        <v>0.51491096331259278</v>
      </c>
    </row>
    <row r="37" spans="1:23">
      <c r="B37" s="1" t="s">
        <v>40</v>
      </c>
      <c r="E37" s="34">
        <f>'[5]Cash Flow - Standardized'!H12*-1</f>
        <v>13.1</v>
      </c>
      <c r="F37" s="34">
        <f>'[5]Cash Flow - Standardized'!I12*-1</f>
        <v>-70.900000000000006</v>
      </c>
      <c r="G37" s="34">
        <f>'[5]Cash Flow - Standardized'!J12*-1</f>
        <v>-87.5</v>
      </c>
      <c r="H37" s="34">
        <f>'[5]Cash Flow - Standardized'!K12*-1</f>
        <v>37.200000000000003</v>
      </c>
      <c r="I37" s="32">
        <f>H37*(1+I25)</f>
        <v>39.584270822582312</v>
      </c>
      <c r="J37" s="32">
        <f t="shared" ref="J37:M37" si="9">I37*(1+J25)</f>
        <v>43.270100113530809</v>
      </c>
      <c r="K37" s="32">
        <f t="shared" si="9"/>
        <v>49.989059758489006</v>
      </c>
      <c r="L37" s="32">
        <f t="shared" si="9"/>
        <v>54.391578078233167</v>
      </c>
      <c r="M37" s="32">
        <f t="shared" si="9"/>
        <v>59.651563628857588</v>
      </c>
    </row>
    <row r="38" spans="1:23">
      <c r="B38" s="1" t="s">
        <v>36</v>
      </c>
      <c r="E38" s="48">
        <f>E37/E24</f>
        <v>4.3666666666666666E-2</v>
      </c>
      <c r="F38" s="48">
        <f t="shared" ref="F38:H38" si="10">F37/F24</f>
        <v>-0.11478063785008905</v>
      </c>
      <c r="G38" s="48">
        <f t="shared" si="10"/>
        <v>-0.1005631536604988</v>
      </c>
      <c r="H38" s="48">
        <f t="shared" si="10"/>
        <v>3.8394055114046859E-2</v>
      </c>
      <c r="I38" s="31">
        <f>I37/I24</f>
        <v>3.8394055114046859E-2</v>
      </c>
      <c r="J38" s="31">
        <f t="shared" ref="J38:M38" si="11">J37/J24</f>
        <v>3.8394055114046859E-2</v>
      </c>
      <c r="K38" s="31">
        <f t="shared" si="11"/>
        <v>3.8394055114046859E-2</v>
      </c>
      <c r="L38" s="31">
        <f t="shared" si="11"/>
        <v>3.8394055114046852E-2</v>
      </c>
      <c r="M38" s="31">
        <f t="shared" si="11"/>
        <v>3.8394055114046852E-2</v>
      </c>
    </row>
    <row r="39" spans="1:23">
      <c r="B39" s="1" t="s">
        <v>41</v>
      </c>
      <c r="E39" s="60" t="s">
        <v>35</v>
      </c>
      <c r="F39" s="48">
        <f>F24/E24-1</f>
        <v>1.0590000000000002</v>
      </c>
      <c r="G39" s="48">
        <f t="shared" ref="G39:H39" si="12">G24/F24-1</f>
        <v>0.4086125951108952</v>
      </c>
      <c r="H39" s="48">
        <f t="shared" si="12"/>
        <v>0.11355016664751183</v>
      </c>
      <c r="I39" s="53" t="s">
        <v>35</v>
      </c>
      <c r="J39" s="31">
        <f>J24/I24-1</f>
        <v>9.3113482056256025E-2</v>
      </c>
      <c r="K39" s="31">
        <f t="shared" ref="K39:M39" si="13">K24/J24-1</f>
        <v>0.15527950310559002</v>
      </c>
      <c r="L39" s="31">
        <f t="shared" si="13"/>
        <v>8.8069636456735712E-2</v>
      </c>
      <c r="M39" s="31">
        <f t="shared" si="13"/>
        <v>9.6705882352940975E-2</v>
      </c>
    </row>
    <row r="40" spans="1:23">
      <c r="E40" s="35"/>
    </row>
    <row r="41" spans="1:23">
      <c r="A41" s="1" t="s">
        <v>21</v>
      </c>
      <c r="B41" s="29" t="s">
        <v>42</v>
      </c>
      <c r="C41" s="29"/>
      <c r="D41" s="29"/>
      <c r="E41" s="36">
        <f>E23</f>
        <v>44756</v>
      </c>
      <c r="F41" s="36">
        <f t="shared" ref="F41:M41" si="14">F23</f>
        <v>45121</v>
      </c>
      <c r="G41" s="36">
        <f t="shared" si="14"/>
        <v>45487</v>
      </c>
      <c r="H41" s="36">
        <f t="shared" si="14"/>
        <v>45852</v>
      </c>
      <c r="I41" s="39">
        <f t="shared" si="14"/>
        <v>46217</v>
      </c>
      <c r="J41" s="39">
        <f t="shared" si="14"/>
        <v>46582</v>
      </c>
      <c r="K41" s="39">
        <f t="shared" si="14"/>
        <v>46948</v>
      </c>
      <c r="L41" s="39">
        <f t="shared" si="14"/>
        <v>47313</v>
      </c>
      <c r="M41" s="39">
        <f t="shared" si="14"/>
        <v>47678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</row>
    <row r="42" spans="1:23">
      <c r="B42" s="1" t="s">
        <v>33</v>
      </c>
      <c r="E42" s="49">
        <f>E24</f>
        <v>300</v>
      </c>
      <c r="F42" s="49">
        <f t="shared" ref="F42:H42" si="15">F24</f>
        <v>617.70000000000005</v>
      </c>
      <c r="G42" s="49">
        <f t="shared" si="15"/>
        <v>870.1</v>
      </c>
      <c r="H42" s="49">
        <f t="shared" si="15"/>
        <v>968.9</v>
      </c>
      <c r="I42" s="32">
        <f ca="1">H42*(1+I43)</f>
        <v>1031</v>
      </c>
      <c r="J42" s="32">
        <f ca="1">I42*(1+J43)</f>
        <v>1127</v>
      </c>
      <c r="K42" s="32">
        <f ca="1">J42*(1+K43)</f>
        <v>1302</v>
      </c>
      <c r="L42" s="32">
        <f t="shared" ref="L42" ca="1" si="16">K42*(1+L43)</f>
        <v>1416.6666666666699</v>
      </c>
      <c r="M42" s="32">
        <f ca="1">L42*(1+M43)</f>
        <v>1553.6666666666699</v>
      </c>
    </row>
    <row r="43" spans="1:23">
      <c r="B43" s="1" t="s">
        <v>43</v>
      </c>
      <c r="E43" s="52" t="s">
        <v>35</v>
      </c>
      <c r="F43" s="51">
        <f>F42/E42-1</f>
        <v>1.0590000000000002</v>
      </c>
      <c r="G43" s="51">
        <f t="shared" ref="G43:H43" si="17">G42/F42-1</f>
        <v>0.4086125951108952</v>
      </c>
      <c r="H43" s="51">
        <f t="shared" si="17"/>
        <v>0.11355016664751183</v>
      </c>
      <c r="I43" s="31">
        <f ca="1">OFFSET(I43,$E$12,0)</f>
        <v>6.4093301682320192E-2</v>
      </c>
      <c r="J43" s="31">
        <f ca="1">OFFSET(J43,$E$12,0)</f>
        <v>9.3113482056256025E-2</v>
      </c>
      <c r="K43" s="31">
        <f ca="1">OFFSET(K43,$E$12,0)</f>
        <v>0.15527950310559002</v>
      </c>
      <c r="L43" s="31">
        <f t="shared" ref="L43:M43" ca="1" si="18">OFFSET(L43,$E$12,0)</f>
        <v>8.8069636456735712E-2</v>
      </c>
      <c r="M43" s="31">
        <f t="shared" ca="1" si="18"/>
        <v>9.6705882352940975E-2</v>
      </c>
    </row>
    <row r="44" spans="1:23">
      <c r="B44" s="1" t="s">
        <v>44</v>
      </c>
      <c r="I44" s="45">
        <f>I45-$J$12</f>
        <v>5.2093301682320195E-2</v>
      </c>
      <c r="J44" s="45">
        <f>J45-$J$12</f>
        <v>8.1113482056256028E-2</v>
      </c>
      <c r="K44" s="45">
        <f>K45-$J$12</f>
        <v>0.14327950310559001</v>
      </c>
      <c r="L44" s="45">
        <f>L45-$J$13</f>
        <v>6.8069636456735708E-2</v>
      </c>
      <c r="M44" s="45">
        <f>M45-$J$13</f>
        <v>7.6705882352940971E-2</v>
      </c>
    </row>
    <row r="45" spans="1:23">
      <c r="B45" s="1" t="s">
        <v>54</v>
      </c>
      <c r="I45" s="45">
        <f>I25</f>
        <v>6.4093301682320192E-2</v>
      </c>
      <c r="J45" s="45">
        <f t="shared" ref="J45:M45" si="19">J25</f>
        <v>9.3113482056256025E-2</v>
      </c>
      <c r="K45" s="45">
        <f>K25</f>
        <v>0.15527950310559002</v>
      </c>
      <c r="L45" s="45">
        <f t="shared" si="19"/>
        <v>8.8069636456735712E-2</v>
      </c>
      <c r="M45" s="45">
        <f t="shared" si="19"/>
        <v>9.6705882352940975E-2</v>
      </c>
    </row>
    <row r="46" spans="1:23">
      <c r="B46" s="1" t="s">
        <v>45</v>
      </c>
      <c r="I46" s="45">
        <f>I25+$O$12</f>
        <v>0.1340933016823202</v>
      </c>
      <c r="J46" s="45">
        <f>J25+$O$12</f>
        <v>0.16311348205625603</v>
      </c>
      <c r="K46" s="45">
        <f>K25+$O$12</f>
        <v>0.22527950310559003</v>
      </c>
      <c r="L46" s="45">
        <f>L25-$O$13</f>
        <v>3.8069636456735709E-2</v>
      </c>
      <c r="M46" s="45">
        <f>M25-$O$13</f>
        <v>4.6705882352940972E-2</v>
      </c>
    </row>
    <row r="48" spans="1:23">
      <c r="B48" s="1" t="s">
        <v>30</v>
      </c>
      <c r="E48" s="50">
        <f>E27</f>
        <v>38</v>
      </c>
      <c r="F48" s="50">
        <f t="shared" ref="F48:H48" si="20">F27</f>
        <v>256.10000000000002</v>
      </c>
      <c r="G48" s="50">
        <f t="shared" si="20"/>
        <v>441.5</v>
      </c>
      <c r="H48" s="50">
        <f t="shared" si="20"/>
        <v>469.7</v>
      </c>
      <c r="I48" s="32">
        <f ca="1">I24*I49</f>
        <v>495.90909090909099</v>
      </c>
      <c r="J48" s="32">
        <f ca="1">J24*J49</f>
        <v>545.45454545454504</v>
      </c>
      <c r="K48" s="32">
        <f t="shared" ref="K48:M48" ca="1" si="21">K24*K49</f>
        <v>636.4</v>
      </c>
      <c r="L48" s="32">
        <f t="shared" ca="1" si="21"/>
        <v>705.66666666666697</v>
      </c>
      <c r="M48" s="32">
        <f t="shared" ca="1" si="21"/>
        <v>786.33333333333303</v>
      </c>
    </row>
    <row r="49" spans="1:13">
      <c r="B49" s="1" t="s">
        <v>36</v>
      </c>
      <c r="E49" s="51">
        <f>E48/E24</f>
        <v>0.12666666666666668</v>
      </c>
      <c r="F49" s="51">
        <f t="shared" ref="F49:H49" si="22">F48/F24</f>
        <v>0.4146025578759916</v>
      </c>
      <c r="G49" s="51">
        <f t="shared" si="22"/>
        <v>0.50741294104125956</v>
      </c>
      <c r="H49" s="51">
        <f t="shared" si="22"/>
        <v>0.48477655072762926</v>
      </c>
      <c r="I49" s="56">
        <f ca="1">OFFSET(I49,$E$13,0)</f>
        <v>0.48099814831143645</v>
      </c>
      <c r="J49" s="56">
        <f ca="1">OFFSET(J49,$E$13,0)</f>
        <v>0.48398806162781283</v>
      </c>
      <c r="K49" s="56">
        <f t="shared" ref="K49:M49" ca="1" si="23">OFFSET(K49,$E$13,0)</f>
        <v>0.48878648233486943</v>
      </c>
      <c r="L49" s="56">
        <f t="shared" ca="1" si="23"/>
        <v>0.49811764705882261</v>
      </c>
      <c r="M49" s="56">
        <f t="shared" ca="1" si="23"/>
        <v>0.50611456768933583</v>
      </c>
    </row>
    <row r="50" spans="1:13">
      <c r="B50" s="1" t="str">
        <f>B44</f>
        <v>Conservative Case</v>
      </c>
      <c r="I50" s="55">
        <f>I28*(1+$J$14)</f>
        <v>0.36074861123357732</v>
      </c>
      <c r="J50" s="55">
        <f>J28*(1+$J$14)</f>
        <v>0.36299104622085965</v>
      </c>
      <c r="K50" s="45">
        <f>K28*(1+$J$15)</f>
        <v>0.43990783410138251</v>
      </c>
      <c r="L50" s="45">
        <f t="shared" ref="L50:M50" si="24">L28*(1+$J$15)</f>
        <v>0.44830588235294033</v>
      </c>
      <c r="M50" s="45">
        <f t="shared" si="24"/>
        <v>0.45550311092040224</v>
      </c>
    </row>
    <row r="51" spans="1:13">
      <c r="B51" s="1" t="str">
        <f t="shared" ref="B51:B52" si="25">B45</f>
        <v>Base Case</v>
      </c>
      <c r="I51" s="55">
        <f>I28</f>
        <v>0.48099814831143645</v>
      </c>
      <c r="J51" s="55">
        <f>J28</f>
        <v>0.48398806162781283</v>
      </c>
      <c r="K51" s="55">
        <f>K28</f>
        <v>0.48878648233486943</v>
      </c>
      <c r="L51" s="55">
        <f>L28</f>
        <v>0.49811764705882261</v>
      </c>
      <c r="M51" s="55">
        <f t="shared" ref="M51" si="26">M28</f>
        <v>0.50611456768933583</v>
      </c>
    </row>
    <row r="52" spans="1:13">
      <c r="B52" s="1" t="str">
        <f t="shared" si="25"/>
        <v>Optimisitc Case</v>
      </c>
      <c r="I52" s="45">
        <f>I28*(1+$O$14)</f>
        <v>0.51466801869323697</v>
      </c>
      <c r="J52" s="45">
        <f>J28*(1+$O$14)</f>
        <v>0.51786722594175971</v>
      </c>
      <c r="K52" s="45">
        <f t="shared" ref="K52" si="27">K28*(1+$O$14)</f>
        <v>0.52300153609831035</v>
      </c>
      <c r="L52" s="45">
        <f>L28*(1+$O$15)</f>
        <v>0.51306117647058735</v>
      </c>
      <c r="M52" s="45">
        <f>M28*(1+$O$15)</f>
        <v>0.52129800472001586</v>
      </c>
    </row>
    <row r="54" spans="1:13">
      <c r="B54" s="1" t="s">
        <v>46</v>
      </c>
      <c r="E54" s="49">
        <f>'[5]Cash Flow - Standardized'!C50</f>
        <v>81.7</v>
      </c>
      <c r="F54" s="49">
        <f>'[5]Cash Flow - Standardized'!D50</f>
        <v>96.4</v>
      </c>
      <c r="G54" s="49">
        <f>'[5]Cash Flow - Standardized'!E50</f>
        <v>101.1</v>
      </c>
      <c r="H54" s="49">
        <f>'[5]Cash Flow - Standardized'!F50</f>
        <v>94.2</v>
      </c>
      <c r="I54" s="32">
        <f>H54*(1+I55)</f>
        <v>122.71469490745184</v>
      </c>
      <c r="J54" s="32">
        <f>I54*(1+J55)</f>
        <v>150.81538721808238</v>
      </c>
      <c r="K54" s="32">
        <f t="shared" ref="K54:M54" si="28">J54*(1+K55)</f>
        <v>183.2064315182472</v>
      </c>
      <c r="L54" s="32">
        <f t="shared" si="28"/>
        <v>219.9491307922921</v>
      </c>
      <c r="M54" s="32">
        <f t="shared" si="28"/>
        <v>275.29463500711006</v>
      </c>
    </row>
    <row r="55" spans="1:13">
      <c r="B55" s="1" t="s">
        <v>47</v>
      </c>
      <c r="E55" s="51">
        <f>E54/E48</f>
        <v>2.15</v>
      </c>
      <c r="F55" s="51">
        <f>F54/F48</f>
        <v>0.37641546270987897</v>
      </c>
      <c r="G55" s="51">
        <f t="shared" ref="G55:H55" si="29">G54/G48</f>
        <v>0.22899207248018119</v>
      </c>
      <c r="H55" s="51">
        <f t="shared" si="29"/>
        <v>0.2005535448158399</v>
      </c>
      <c r="I55" s="45">
        <f>MEDIAN(E55:$H$55)</f>
        <v>0.30270376759503009</v>
      </c>
      <c r="J55" s="45">
        <f>MEDIAN(F55:$H$55)</f>
        <v>0.22899207248018119</v>
      </c>
      <c r="K55" s="45">
        <f>MEDIAN(G55:$H$55)</f>
        <v>0.21477280864801054</v>
      </c>
      <c r="L55" s="45">
        <f>MEDIAN(H55:$H$55)</f>
        <v>0.2005535448158399</v>
      </c>
      <c r="M55" s="45">
        <f>MEDIAN($H55:I$55)</f>
        <v>0.25162865620543501</v>
      </c>
    </row>
    <row r="57" spans="1:13">
      <c r="A57" s="1" t="s">
        <v>21</v>
      </c>
      <c r="B57" s="40" t="s">
        <v>69</v>
      </c>
      <c r="C57" s="41"/>
      <c r="D57" s="41"/>
      <c r="E57" s="41"/>
      <c r="F57" s="41"/>
      <c r="G57" s="41"/>
      <c r="H57" s="41"/>
      <c r="I57" s="61">
        <f ca="1">I48-I54</f>
        <v>373.19439600163912</v>
      </c>
      <c r="J57" s="61">
        <f ca="1">J48-J54</f>
        <v>394.63915823646266</v>
      </c>
      <c r="K57" s="61">
        <f ca="1">K48-K54</f>
        <v>453.19356848175278</v>
      </c>
      <c r="L57" s="61">
        <f t="shared" ref="L57:M57" ca="1" si="30">L48-L54</f>
        <v>485.7175358743749</v>
      </c>
      <c r="M57" s="61">
        <f t="shared" ca="1" si="30"/>
        <v>511.03869832622297</v>
      </c>
    </row>
    <row r="59" spans="1:13">
      <c r="B59" s="1" t="s">
        <v>48</v>
      </c>
      <c r="E59" s="50">
        <f>E31</f>
        <v>113.1</v>
      </c>
      <c r="F59" s="50">
        <f t="shared" ref="F59:H59" si="31">F31</f>
        <v>145.30000000000001</v>
      </c>
      <c r="G59" s="50">
        <f t="shared" si="31"/>
        <v>168.4</v>
      </c>
      <c r="H59" s="50">
        <f t="shared" si="31"/>
        <v>200.7</v>
      </c>
      <c r="I59" s="30">
        <f>H59*(1+I60)</f>
        <v>251.52278679236403</v>
      </c>
      <c r="J59" s="30">
        <f>I59*(1+J60)</f>
        <v>315.21530780167922</v>
      </c>
      <c r="K59" s="30">
        <f t="shared" ref="K59:M59" si="32">J59*(1+K60)</f>
        <v>395.03653541550159</v>
      </c>
      <c r="L59" s="30">
        <f t="shared" si="32"/>
        <v>495.07070389889071</v>
      </c>
      <c r="M59" s="30">
        <f t="shared" si="32"/>
        <v>620.43628850974721</v>
      </c>
    </row>
    <row r="60" spans="1:13">
      <c r="B60" s="1" t="s">
        <v>36</v>
      </c>
      <c r="E60" s="57">
        <f>E32</f>
        <v>0.377</v>
      </c>
      <c r="F60" s="57">
        <f t="shared" ref="F60:H60" si="33">F32</f>
        <v>0.23522745669418813</v>
      </c>
      <c r="G60" s="57">
        <f t="shared" si="33"/>
        <v>0.19354097230203426</v>
      </c>
      <c r="H60" s="57">
        <f t="shared" si="33"/>
        <v>0.20714211992981732</v>
      </c>
      <c r="I60" s="55">
        <f>AVERAGE($E$60:$H$60)</f>
        <v>0.25322763723150993</v>
      </c>
      <c r="J60" s="55">
        <f t="shared" ref="J60:M60" si="34">AVERAGE($E$60:$H$60)</f>
        <v>0.25322763723150993</v>
      </c>
      <c r="K60" s="55">
        <f t="shared" si="34"/>
        <v>0.25322763723150993</v>
      </c>
      <c r="L60" s="55">
        <f>AVERAGE($E$60:$H$60)</f>
        <v>0.25322763723150993</v>
      </c>
      <c r="M60" s="55">
        <f t="shared" si="34"/>
        <v>0.25322763723150993</v>
      </c>
    </row>
    <row r="61" spans="1:13">
      <c r="E61" s="49"/>
      <c r="F61" s="49"/>
      <c r="G61" s="49"/>
      <c r="H61" s="49"/>
    </row>
    <row r="62" spans="1:13">
      <c r="B62" s="1" t="s">
        <v>39</v>
      </c>
      <c r="E62" s="50">
        <f>E34</f>
        <v>224.8</v>
      </c>
      <c r="F62" s="50">
        <f t="shared" ref="F62:H62" si="35">F34</f>
        <v>465.1</v>
      </c>
      <c r="G62" s="50">
        <f t="shared" si="35"/>
        <v>847.2</v>
      </c>
      <c r="H62" s="50">
        <f t="shared" si="35"/>
        <v>1089.9000000000001</v>
      </c>
      <c r="I62" s="30">
        <f>I34</f>
        <v>1177</v>
      </c>
      <c r="J62" s="30">
        <f t="shared" ref="J62:M62" si="36">J34</f>
        <v>1197</v>
      </c>
      <c r="K62" s="30">
        <f t="shared" si="36"/>
        <v>900</v>
      </c>
      <c r="L62" s="30">
        <f t="shared" si="36"/>
        <v>800</v>
      </c>
      <c r="M62" s="30">
        <f t="shared" si="36"/>
        <v>800</v>
      </c>
    </row>
    <row r="63" spans="1:13">
      <c r="B63" s="1" t="s">
        <v>36</v>
      </c>
      <c r="E63" s="57">
        <f>E35</f>
        <v>0.74933333333333341</v>
      </c>
      <c r="F63" s="57">
        <f t="shared" ref="F63:H63" si="37">F35</f>
        <v>0.75295450866116231</v>
      </c>
      <c r="G63" s="57">
        <f t="shared" si="37"/>
        <v>0.97368118607056664</v>
      </c>
      <c r="H63" s="57">
        <f t="shared" si="37"/>
        <v>1.1248838889462278</v>
      </c>
      <c r="I63" s="55">
        <f>I62/I24</f>
        <v>1.1416100872938895</v>
      </c>
      <c r="J63" s="55">
        <f t="shared" ref="J63:M63" si="38">J62/J24</f>
        <v>1.0621118012422359</v>
      </c>
      <c r="K63" s="55">
        <f t="shared" si="38"/>
        <v>0.69124423963133641</v>
      </c>
      <c r="L63" s="55">
        <f t="shared" si="38"/>
        <v>0.56470588235293984</v>
      </c>
      <c r="M63" s="55">
        <f t="shared" si="38"/>
        <v>0.51491096331259278</v>
      </c>
    </row>
    <row r="64" spans="1:13">
      <c r="E64" s="49"/>
      <c r="F64" s="49"/>
      <c r="G64" s="49"/>
      <c r="H64" s="49"/>
    </row>
    <row r="65" spans="1:13">
      <c r="B65" s="1" t="s">
        <v>40</v>
      </c>
      <c r="E65" s="49">
        <f>E37</f>
        <v>13.1</v>
      </c>
      <c r="F65" s="49">
        <f t="shared" ref="F65:H65" si="39">F37</f>
        <v>-70.900000000000006</v>
      </c>
      <c r="G65" s="49">
        <f t="shared" si="39"/>
        <v>-87.5</v>
      </c>
      <c r="H65" s="49">
        <f t="shared" si="39"/>
        <v>37.200000000000003</v>
      </c>
      <c r="I65" s="30">
        <f>H65*(1+I66)</f>
        <v>38.439532548487833</v>
      </c>
      <c r="J65" s="30">
        <f t="shared" ref="J65:M65" si="40">I65*(1+J66)</f>
        <v>39.720367272748796</v>
      </c>
      <c r="K65" s="30">
        <f t="shared" si="40"/>
        <v>41.043880392976291</v>
      </c>
      <c r="L65" s="30">
        <f t="shared" si="40"/>
        <v>42.411493986076707</v>
      </c>
      <c r="M65" s="30">
        <f t="shared" si="40"/>
        <v>43.824677513650308</v>
      </c>
    </row>
    <row r="66" spans="1:13">
      <c r="B66" s="1" t="s">
        <v>49</v>
      </c>
      <c r="E66" s="57">
        <f>E38</f>
        <v>4.3666666666666666E-2</v>
      </c>
      <c r="F66" s="57">
        <f t="shared" ref="F66:H66" si="41">F38</f>
        <v>-0.11478063785008905</v>
      </c>
      <c r="G66" s="57">
        <f t="shared" si="41"/>
        <v>-0.1005631536604988</v>
      </c>
      <c r="H66" s="57">
        <f t="shared" si="41"/>
        <v>3.8394055114046859E-2</v>
      </c>
      <c r="I66" s="55">
        <f>AVERAGE($E$66:$H$66)*-1</f>
        <v>3.3320767432468576E-2</v>
      </c>
      <c r="J66" s="55">
        <f t="shared" ref="J66:M66" si="42">AVERAGE($E$66:$H$66)*-1</f>
        <v>3.3320767432468576E-2</v>
      </c>
      <c r="K66" s="55">
        <f t="shared" si="42"/>
        <v>3.3320767432468576E-2</v>
      </c>
      <c r="L66" s="55">
        <f t="shared" si="42"/>
        <v>3.3320767432468576E-2</v>
      </c>
      <c r="M66" s="55">
        <f t="shared" si="42"/>
        <v>3.3320767432468576E-2</v>
      </c>
    </row>
    <row r="68" spans="1:13">
      <c r="B68" s="42" t="s">
        <v>57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62">
        <f ca="1">M69*(1+E19)/(E18-E19)</f>
        <v>4968.0339517797092</v>
      </c>
    </row>
    <row r="69" spans="1:13" ht="15.75" customHeight="1">
      <c r="A69" s="1" t="s">
        <v>21</v>
      </c>
      <c r="B69" s="63" t="s">
        <v>50</v>
      </c>
      <c r="I69" s="30">
        <f ca="1">(I48-I48*I55+I59-I62-I65)</f>
        <v>-618.12120504984091</v>
      </c>
      <c r="J69" s="30">
        <f ca="1">J48-(J48*J55)+J59-J62-J65</f>
        <v>-500.95528082389598</v>
      </c>
      <c r="K69" s="30">
        <f ca="1">K48-K48*K55+K59-K62-K65</f>
        <v>-46.2887604010686</v>
      </c>
      <c r="L69" s="30">
        <f t="shared" ref="L69" ca="1" si="43">L48-L48*L55+L59-L62-L65</f>
        <v>216.8019251211033</v>
      </c>
      <c r="M69" s="64">
        <f ca="1">(M48-M48*M55+M59-M62-M65)</f>
        <v>365.08094433322282</v>
      </c>
    </row>
    <row r="70" spans="1:13" ht="15.75" customHeight="1">
      <c r="B70" s="44" t="s">
        <v>59</v>
      </c>
      <c r="C70" s="20"/>
      <c r="D70" s="20"/>
      <c r="E70" s="20"/>
      <c r="F70" s="20"/>
      <c r="G70" s="20"/>
      <c r="H70" s="20"/>
      <c r="I70" s="58">
        <f ca="1">I69/(1+$E$18)^1</f>
        <v>-572.31629139283064</v>
      </c>
      <c r="J70" s="58">
        <f ca="1">J69/(1+$E$18)^2</f>
        <v>-429.46115825237774</v>
      </c>
      <c r="K70" s="58">
        <f ca="1">K69/(1+$E$18)^3</f>
        <v>-36.742013179910998</v>
      </c>
      <c r="L70" s="58">
        <f ca="1">L69/(1+$E$18)^4</f>
        <v>159.33566534361196</v>
      </c>
      <c r="M70" s="65">
        <f ca="1">(M69+M68)/(1+$E$18)^5</f>
        <v>3629.0526596515037</v>
      </c>
    </row>
    <row r="72" spans="1:13" ht="17.25">
      <c r="B72" s="69" t="s">
        <v>58</v>
      </c>
      <c r="C72" s="43"/>
      <c r="D72" s="43"/>
      <c r="E72" s="43"/>
      <c r="F72" s="43"/>
      <c r="G72" s="43"/>
      <c r="H72" s="43"/>
      <c r="I72" s="77">
        <f ca="1">SUM(I70:M70)*10000000</f>
        <v>27498688621.699963</v>
      </c>
    </row>
    <row r="73" spans="1:13">
      <c r="B73" s="63" t="s">
        <v>60</v>
      </c>
      <c r="I73" s="78">
        <f>Assumptions!E24*1000000</f>
        <v>2291500000</v>
      </c>
      <c r="L73" s="68"/>
    </row>
    <row r="74" spans="1:13">
      <c r="B74" s="63" t="s">
        <v>61</v>
      </c>
      <c r="I74" s="73">
        <f>Assumptions!E22</f>
        <v>1695129603</v>
      </c>
    </row>
    <row r="75" spans="1:13">
      <c r="B75" s="63" t="s">
        <v>62</v>
      </c>
      <c r="I75" s="74">
        <f ca="1">(I72+I73)/I74</f>
        <v>17.573988778780098</v>
      </c>
    </row>
    <row r="76" spans="1:13">
      <c r="B76" s="63" t="s">
        <v>63</v>
      </c>
      <c r="I76" s="74">
        <v>9.07</v>
      </c>
    </row>
    <row r="77" spans="1:13">
      <c r="B77" s="44" t="s">
        <v>64</v>
      </c>
      <c r="C77" s="20"/>
      <c r="D77" s="20"/>
      <c r="E77" s="20"/>
      <c r="F77" s="20"/>
      <c r="G77" s="20"/>
      <c r="H77" s="20"/>
      <c r="I77" s="70">
        <f ca="1">I75/I76-1</f>
        <v>0.93759523470563377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5783-284A-4BFC-AE28-5A6F8BB8F0FF}">
  <dimension ref="D6:D7"/>
  <sheetViews>
    <sheetView workbookViewId="0">
      <selection activeCell="P18" sqref="P18"/>
    </sheetView>
  </sheetViews>
  <sheetFormatPr defaultColWidth="8.85546875" defaultRowHeight="15"/>
  <sheetData>
    <row r="6" spans="4:4">
      <c r="D6" t="s">
        <v>65</v>
      </c>
    </row>
    <row r="7" spans="4:4">
      <c r="D7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b59d87-05c4-4860-9815-0d4460ae98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DE01D707DF72448EDF8AC408738A36" ma:contentTypeVersion="13" ma:contentTypeDescription="Create a new document." ma:contentTypeScope="" ma:versionID="817f0a2cfd695e1eec070d60e31be77d">
  <xsd:schema xmlns:xsd="http://www.w3.org/2001/XMLSchema" xmlns:xs="http://www.w3.org/2001/XMLSchema" xmlns:p="http://schemas.microsoft.com/office/2006/metadata/properties" xmlns:ns3="e3b59d87-05c4-4860-9815-0d4460ae9820" xmlns:ns4="c54f0447-2b4b-4d3e-bd33-a4b602cd1d34" targetNamespace="http://schemas.microsoft.com/office/2006/metadata/properties" ma:root="true" ma:fieldsID="87e258c84b812dba1d9880dd8dea137d" ns3:_="" ns4:_="">
    <xsd:import namespace="e3b59d87-05c4-4860-9815-0d4460ae9820"/>
    <xsd:import namespace="c54f0447-2b4b-4d3e-bd33-a4b602cd1d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59d87-05c4-4860-9815-0d4460ae9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f0447-2b4b-4d3e-bd33-a4b602cd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C4AC66-2290-4D5C-B7A0-C22699149416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54f0447-2b4b-4d3e-bd33-a4b602cd1d34"/>
    <ds:schemaRef ds:uri="e3b59d87-05c4-4860-9815-0d4460ae9820"/>
  </ds:schemaRefs>
</ds:datastoreItem>
</file>

<file path=customXml/itemProps2.xml><?xml version="1.0" encoding="utf-8"?>
<ds:datastoreItem xmlns:ds="http://schemas.openxmlformats.org/officeDocument/2006/customXml" ds:itemID="{C246DF37-0B65-4B31-B521-ABB4E3032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b59d87-05c4-4860-9815-0d4460ae9820"/>
    <ds:schemaRef ds:uri="c54f0447-2b4b-4d3e-bd33-a4b602cd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C4A1A8-3F72-4C7F-8C32-11CCD5DB6D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 Page </vt:lpstr>
      <vt:lpstr>Assumptions</vt:lpstr>
      <vt:lpstr>Valuation &gt;</vt:lpstr>
      <vt:lpstr>AIA DCF</vt:lpstr>
      <vt:lpstr>DCF Assumptions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Phoenix Leef-Harris</dc:creator>
  <cp:keywords/>
  <dc:description/>
  <cp:lastModifiedBy>Phoenix Leef-Harris</cp:lastModifiedBy>
  <cp:revision/>
  <dcterms:created xsi:type="dcterms:W3CDTF">2026-02-24T00:16:17Z</dcterms:created>
  <dcterms:modified xsi:type="dcterms:W3CDTF">2026-03-03T23:49:25Z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0x0101004ADE01D707DF72448EDF8AC408738A36</vt:lpwstr>
  </property>
</Properties>
</file>